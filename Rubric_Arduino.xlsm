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n\Downloads\"/>
    </mc:Choice>
  </mc:AlternateContent>
  <xr:revisionPtr revIDLastSave="0" documentId="13_ncr:1_{326E1C64-FAFB-4E52-BA52-D7958089BB98}" xr6:coauthVersionLast="47" xr6:coauthVersionMax="47" xr10:uidLastSave="{00000000-0000-0000-0000-000000000000}"/>
  <bookViews>
    <workbookView xWindow="28680" yWindow="-120" windowWidth="29040" windowHeight="15840" xr2:uid="{92D1C851-7840-49F1-938F-1662EF0A8FDE}"/>
  </bookViews>
  <sheets>
    <sheet name="Blad1" sheetId="7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7" l="1" a="1"/>
  <c r="H10" i="7" a="1"/>
  <c r="H3" i="7" a="1"/>
  <c r="H4" i="7" a="1"/>
  <c r="H8" i="7" a="1"/>
  <c r="H9" i="7" a="1"/>
  <c r="H5" i="7" a="1"/>
  <c r="H5" i="7" l="1"/>
  <c r="H9" i="7"/>
  <c r="H8" i="7"/>
  <c r="H4" i="7"/>
  <c r="H3" i="7"/>
  <c r="H10" i="7"/>
  <c r="H2" i="7"/>
  <c r="I5" i="7" l="1"/>
  <c r="I8" i="7" s="1"/>
  <c r="I10" i="7"/>
  <c r="I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<sst xmlns="http://schemas.openxmlformats.org/spreadsheetml/2006/main" count="53" uniqueCount="42">
  <si>
    <t>Onderdeel</t>
  </si>
  <si>
    <t>Weging</t>
  </si>
  <si>
    <t>Inzet</t>
  </si>
  <si>
    <t>Evaluatie</t>
  </si>
  <si>
    <t>Presentatie: kwaliteit</t>
  </si>
  <si>
    <t>Presentatie: inhoud</t>
  </si>
  <si>
    <t>Code</t>
  </si>
  <si>
    <t>In de les was geen of nauwelijks activiteit. Interventies van de docent leidden niet tot verandering.</t>
  </si>
  <si>
    <t>Regelmatig werd er in de les niet aan het project gewerkt (en er was geen compensatie buiten de les). De docent had vooral een stimulerende rol.</t>
  </si>
  <si>
    <t>De evaluatie ontbreekt.</t>
  </si>
  <si>
    <t>De presentatie ontbreekt.</t>
  </si>
  <si>
    <t>De presentatie is slecht voorbereid, of het minimale is gedaan.</t>
  </si>
  <si>
    <t>De code ontbreekt.</t>
  </si>
  <si>
    <t>De code is (grotendeels) niet zelf geschreven. Of de code is nauwelijks complex.</t>
  </si>
  <si>
    <t>Elke les werd er aan het project gewerkt. Er was geen duidelijke planning, taakverdeling of reflectie. Er werden veel inhoudelijke vragen aan de docent gesteld</t>
  </si>
  <si>
    <t>De presentatie is mooi voor het oog.</t>
  </si>
  <si>
    <t>De code is voornamelijk zelf geschreven, of aan de hand van bestaande code zijn eigen uitbreidingen gecreëerd.</t>
  </si>
  <si>
    <t>Elke les werd aan het project gewerkt en regelmatig werd de stand van zaken in het groepje geëvalueerd. De docent had alleen een adviserende rol.</t>
  </si>
  <si>
    <t>Er is duidelijk moeite gestoken in een bijzondere presentatie voorbereiden (bijzondere presentatievormen, of bovengewoon goede afwerking)</t>
  </si>
  <si>
    <t>De code is volledig zelf geschreven, of de code demonstreert een buitengewoon begrip van de stof.</t>
  </si>
  <si>
    <t>Onvoldoende (0%)</t>
  </si>
  <si>
    <t>Uitstekend (100%)</t>
  </si>
  <si>
    <t>Zwak (40%)</t>
  </si>
  <si>
    <t>Score</t>
  </si>
  <si>
    <t>Voldoende (70%)</t>
  </si>
  <si>
    <t>Goed (90%)</t>
  </si>
  <si>
    <t>Cijfer</t>
  </si>
  <si>
    <t>Opmerking</t>
  </si>
  <si>
    <t>Persoon1</t>
  </si>
  <si>
    <t>Persoon2</t>
  </si>
  <si>
    <t>Persoon3</t>
  </si>
  <si>
    <t>Onderdelen van de presentatie missen.</t>
  </si>
  <si>
    <t>De evaluatie is zeer kort of oppervlakkig.</t>
  </si>
  <si>
    <t>De evaluatie geeft weer wat de rolverdeling was en wat de gang van zaken was.</t>
  </si>
  <si>
    <t>De evaluatie geeft een compleet beeld van het proces, en maakt duidelijk wat er geleerd is.</t>
  </si>
  <si>
    <t>Goed + er is uitzonderlijke inspanning geleverd (zoals: product opgetuigd met versieringselementen).</t>
  </si>
  <si>
    <t>Goed + er is uitzonderlijke inspanning geleverd (zoals: B-roll shots in video, of instructie hoe het te bouwen is).</t>
  </si>
  <si>
    <t>Alle onderdelen van het product worden behandeld.</t>
  </si>
  <si>
    <t>De kijker krijgt inzicht in het functioneren van de onderdelen en wordt enthousiast gemaakt.</t>
  </si>
  <si>
    <t>Goed + er is uitzonderlijke inspanning geleverd (zoals: een losse beschrijving welke dingen hoe aangesloten zijn; zie hierboven).</t>
  </si>
  <si>
    <t>Goed + er is uitzonderlijke inspanning geleverd (zoals: extra in- of output gekoppeld met nuttige functie).</t>
  </si>
  <si>
    <t>Goed + er is uitzonderlijke inspanning geleverd (zoals: verbeterpunten voor zichzelf / projectaanpak).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</si>
</sst>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22">
    <xf numFmtId="0" fontId="0" fillId="0" borderId="0" xfId="0"/>
    <xf numFmtId="0" fontId="5" fillId="0" borderId="0" xfId="0" applyFont="1"/>
    <xf numFmtId="0" fontId="0" fillId="0" borderId="0" xfId="0" applyAlignment="1">
      <alignment horizontal="center" vertical="top"/>
    </xf>
    <xf numFmtId="0" fontId="5" fillId="0" borderId="0" xfId="0" applyFont="1" applyAlignment="1">
      <alignment horizontal="left" vertical="top"/>
    </xf>
    <xf numFmtId="0" fontId="3" fillId="3" borderId="0" xfId="2"/>
    <xf numFmtId="0" fontId="4" fillId="4" borderId="0" xfId="3"/>
    <xf numFmtId="0" fontId="2" fillId="2" borderId="0" xfId="1"/>
    <xf numFmtId="0" fontId="6" fillId="6" borderId="0" xfId="5" applyFont="1"/>
    <xf numFmtId="0" fontId="7" fillId="5" borderId="0" xfId="4" applyFont="1"/>
    <xf numFmtId="49" fontId="8" fillId="0" borderId="0" xfId="3" applyNumberFormat="1" applyFont="1" applyFill="1" applyAlignment="1">
      <alignment horizontal="left" vertical="top" wrapText="1"/>
    </xf>
    <xf numFmtId="49" fontId="8" fillId="0" borderId="0" xfId="0" applyNumberFormat="1" applyFont="1" applyFill="1" applyAlignment="1">
      <alignment horizontal="left" vertical="top" wrapText="1"/>
    </xf>
    <xf numFmtId="49" fontId="8" fillId="0" borderId="0" xfId="2" applyNumberFormat="1" applyFont="1" applyFill="1" applyAlignment="1">
      <alignment horizontal="left" vertical="top" wrapText="1"/>
    </xf>
    <xf numFmtId="49" fontId="8" fillId="0" borderId="0" xfId="4" applyNumberFormat="1" applyFont="1" applyFill="1" applyAlignment="1">
      <alignment horizontal="left" vertical="top" wrapText="1"/>
    </xf>
    <xf numFmtId="49" fontId="8" fillId="0" borderId="0" xfId="5" applyNumberFormat="1" applyFont="1" applyFill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0" fillId="0" borderId="2" xfId="0" applyFont="1" applyBorder="1" applyAlignment="1">
      <alignment horizontal="center" vertical="top"/>
    </xf>
    <xf numFmtId="49" fontId="8" fillId="0" borderId="2" xfId="0" applyNumberFormat="1" applyFont="1" applyFill="1" applyBorder="1" applyAlignment="1">
      <alignment horizontal="left" vertical="top" wrapText="1"/>
    </xf>
    <xf numFmtId="164" fontId="5" fillId="0" borderId="0" xfId="0" applyNumberFormat="1" applyFont="1"/>
    <xf numFmtId="49" fontId="8" fillId="0" borderId="0" xfId="0" applyNumberFormat="1" applyFont="1" applyFill="1" applyAlignment="1">
      <alignment horizontal="right" wrapText="1"/>
    </xf>
    <xf numFmtId="164" fontId="9" fillId="0" borderId="0" xfId="0" applyNumberFormat="1" applyFont="1" applyFill="1" applyAlignment="1">
      <alignment horizontal="right" wrapText="1"/>
    </xf>
    <xf numFmtId="49" fontId="0" fillId="0" borderId="0" xfId="0" applyNumberFormat="1" applyFont="1" applyFill="1" applyAlignment="1">
      <alignment horizontal="left" vertical="top" wrapText="1"/>
    </xf>
    <xf numFmtId="0" fontId="0" fillId="0" borderId="0" xfId="0" applyFont="1" applyFill="1"/>
  </cellXfs>
  <cellStyles count="6">
    <cellStyle name="40% - Accent2" xfId="4" builtinId="35"/>
    <cellStyle name="40% - Accent6" xfId="5" builtinId="51"/>
    <cellStyle name="Goed" xfId="1" builtinId="26"/>
    <cellStyle name="Neutraal" xfId="3" builtinId="28"/>
    <cellStyle name="Ongeldig" xfId="2" builtinId="27"/>
    <cellStyle name="Standaard" xfId="0" builtinId="0"/>
  </cellStyles>
  <dxfs count="20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0" formatCode="General"/>
      <alignment horizontal="righ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B39621-61B2-45D4-A099-0D0C42FC997A}" name="Tabel17152" displayName="Tabel17152" ref="A1:J10" totalsRowShown="0" dataDxfId="19">
  <autoFilter ref="A1:J10" xr:uid="{57A097E7-F688-4D5A-AD46-F3D1DBE349CF}"/>
  <tableColumns count="10">
    <tableColumn id="1" xr3:uid="{BEF7C09F-F2F9-4757-A5AC-BB94F0D72CC7}" name="Onderdeel" dataDxfId="18" totalsRowDxfId="17"/>
    <tableColumn id="2" xr3:uid="{2DF87CD8-0738-4FAF-95C0-4F0A12B1A073}" name="Weging" dataDxfId="16" totalsRowDxfId="15"/>
    <tableColumn id="3" xr3:uid="{EF043390-B09E-4C96-BC2D-377036E8758B}" name="Onvoldoende (0%)" dataDxfId="14" totalsRowDxfId="13"/>
    <tableColumn id="4" xr3:uid="{1E9BAF0E-007D-495F-80E3-79EB5E056E0D}" name="Zwak (40%)" dataDxfId="12" totalsRowDxfId="11"/>
    <tableColumn id="5" xr3:uid="{88778134-0D7F-41CE-B844-BE4B27DABC36}" name="Voldoende (70%)" dataDxfId="10" totalsRowDxfId="9"/>
    <tableColumn id="6" xr3:uid="{C5A5B7C9-7C24-4C9D-B099-1435761C96F5}" name="Goed (90%)" dataDxfId="8" totalsRowDxfId="7"/>
    <tableColumn id="7" xr3:uid="{9953D5C7-19AF-4530-A0B8-1EBA4B60D030}" name="Uitstekend (100%)" dataDxfId="6" totalsRowDxfId="5"/>
    <tableColumn id="8" xr3:uid="{83656656-37AA-40AA-A297-93E8C83C31CF}" name="Score" dataDxfId="4" totalsRowDxfId="3">
      <calculatedColumnFormula array="1">(IF(InteriorColor(C2)&gt;0,B2*0)+IF(InteriorColor(D2)&gt;0,B2*0.4)+IF(InteriorColor(E2)&gt;0,B2*0.6)+IF(InteriorColor(F2)&gt;0,B2*0.8)+IF(InteriorColor(G2)&gt;0,B2*1))</calculatedColumnFormula>
    </tableColumn>
    <tableColumn id="11" xr3:uid="{D7C09702-382B-47EA-B22B-598B2A411A31}" name="Cijfer" dataDxfId="2" totalsRowDxfId="1"/>
    <tableColumn id="9" xr3:uid="{F4693099-4130-4728-A832-7D617962D6C7}" name="Opmerking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2EE2A-B0EE-48D5-AEF0-0A0F22F93428}">
  <dimension ref="A1:J10"/>
  <sheetViews>
    <sheetView tabSelected="1" workbookViewId="0">
      <selection activeCell="G9" sqref="G9"/>
    </sheetView>
  </sheetViews>
  <sheetFormatPr defaultRowHeight="15" x14ac:dyDescent="0.25"/>
  <cols>
    <col min="1" max="1" width="24.140625" customWidth="1"/>
    <col min="2" max="2" width="10" customWidth="1"/>
    <col min="3" max="7" width="30.85546875" customWidth="1"/>
    <col min="10" max="10" width="50.42578125" customWidth="1"/>
  </cols>
  <sheetData>
    <row r="1" spans="1:10" x14ac:dyDescent="0.25">
      <c r="A1" s="3" t="s">
        <v>0</v>
      </c>
      <c r="B1" s="3" t="s">
        <v>1</v>
      </c>
      <c r="C1" s="4" t="s">
        <v>20</v>
      </c>
      <c r="D1" s="8" t="s">
        <v>22</v>
      </c>
      <c r="E1" s="5" t="s">
        <v>24</v>
      </c>
      <c r="F1" s="6" t="s">
        <v>25</v>
      </c>
      <c r="G1" s="7" t="s">
        <v>21</v>
      </c>
      <c r="H1" t="s">
        <v>23</v>
      </c>
      <c r="I1" t="s">
        <v>26</v>
      </c>
      <c r="J1" t="s">
        <v>27</v>
      </c>
    </row>
    <row r="2" spans="1:10" ht="90" x14ac:dyDescent="0.25">
      <c r="A2" s="3" t="s">
        <v>2</v>
      </c>
      <c r="B2" s="2">
        <v>20</v>
      </c>
      <c r="C2" s="10" t="s">
        <v>7</v>
      </c>
      <c r="D2" s="10" t="s">
        <v>8</v>
      </c>
      <c r="E2" s="9" t="s">
        <v>14</v>
      </c>
      <c r="F2" s="10" t="s">
        <v>17</v>
      </c>
      <c r="G2" s="10" t="s">
        <v>35</v>
      </c>
      <c r="H2" cm="1">
        <f t="array" aca="1" ref="H2" ca="1">(IF(InteriorColor(C2)&gt;0,B2*0)+IF(InteriorColor(D2)&gt;0,B2*0.4)+IF(InteriorColor(E2)&gt;0,B2*0.7)+IF(InteriorColor(F2)&gt;0,B2*0.9)+IF(InteriorColor(G2)&gt;0,B2*1))</f>
        <v>0</v>
      </c>
      <c r="I2" s="10"/>
      <c r="J2" s="10"/>
    </row>
    <row r="3" spans="1:10" ht="75" x14ac:dyDescent="0.25">
      <c r="A3" s="3" t="s">
        <v>4</v>
      </c>
      <c r="B3" s="2">
        <v>10</v>
      </c>
      <c r="C3" s="11" t="s">
        <v>10</v>
      </c>
      <c r="D3" s="10" t="s">
        <v>11</v>
      </c>
      <c r="E3" s="10" t="s">
        <v>15</v>
      </c>
      <c r="F3" s="10" t="s">
        <v>18</v>
      </c>
      <c r="G3" s="10" t="s">
        <v>36</v>
      </c>
      <c r="H3" cm="1">
        <f t="array" aca="1" ref="H3" ca="1">(IF(InteriorColor(C3)&gt;0,B3*0)+IF(InteriorColor(D3)&gt;0,B3*0.4)+IF(InteriorColor(E3)&gt;0,B3*0.7)+IF(InteriorColor(F3)&gt;0,B3*0.9)+IF(InteriorColor(G3)&gt;0,B3*1))</f>
        <v>0</v>
      </c>
      <c r="I3" s="10"/>
      <c r="J3" s="10"/>
    </row>
    <row r="4" spans="1:10" ht="46.5" customHeight="1" x14ac:dyDescent="0.25">
      <c r="A4" s="3" t="s">
        <v>5</v>
      </c>
      <c r="B4" s="2">
        <v>10</v>
      </c>
      <c r="C4" s="10" t="s">
        <v>10</v>
      </c>
      <c r="D4" s="12" t="s">
        <v>31</v>
      </c>
      <c r="E4" s="10" t="s">
        <v>37</v>
      </c>
      <c r="F4" s="10" t="s">
        <v>38</v>
      </c>
      <c r="G4" s="10" t="s">
        <v>39</v>
      </c>
      <c r="H4" cm="1">
        <f t="array" aca="1" ref="H4" ca="1">(IF(InteriorColor(C4)&gt;0,B4*0)+IF(InteriorColor(D4)&gt;0,B4*0.4)+IF(InteriorColor(E4)&gt;0,B4*0.7)+IF(InteriorColor(F4)&gt;0,B4*0.9)+IF(InteriorColor(G4)&gt;0,B4*1))</f>
        <v>0</v>
      </c>
      <c r="I4" s="10"/>
      <c r="J4" s="10"/>
    </row>
    <row r="5" spans="1:10" ht="60" customHeight="1" x14ac:dyDescent="0.25">
      <c r="A5" s="3" t="s">
        <v>6</v>
      </c>
      <c r="B5" s="2">
        <v>50</v>
      </c>
      <c r="C5" s="10" t="s">
        <v>12</v>
      </c>
      <c r="D5" s="10" t="s">
        <v>13</v>
      </c>
      <c r="E5" s="10" t="s">
        <v>16</v>
      </c>
      <c r="F5" s="10" t="s">
        <v>19</v>
      </c>
      <c r="G5" s="13" t="s">
        <v>40</v>
      </c>
      <c r="H5" cm="1">
        <f t="array" aca="1" ref="H5" ca="1">(IF(InteriorColor(C5)&gt;0,B5*0)+IF(InteriorColor(D5)&gt;0,B5*0.4)+IF(InteriorColor(E5)&gt;0,B5*0.7)+IF(InteriorColor(F5)&gt;0,B5*0.9)+IF(InteriorColor(G5)&gt;0,B5*1))</f>
        <v>0</v>
      </c>
      <c r="I5" s="19">
        <f ca="1">SUM(H2:H5)/10</f>
        <v>0</v>
      </c>
      <c r="J5" s="10"/>
    </row>
    <row r="6" spans="1:10" x14ac:dyDescent="0.25">
      <c r="A6" s="3"/>
      <c r="B6" s="2"/>
      <c r="C6" s="20"/>
      <c r="D6" s="20"/>
      <c r="E6" s="20"/>
      <c r="F6" s="20"/>
      <c r="G6" s="20"/>
      <c r="I6" s="18"/>
      <c r="J6" s="10"/>
    </row>
    <row r="7" spans="1:10" x14ac:dyDescent="0.25">
      <c r="A7" s="1" t="s">
        <v>3</v>
      </c>
      <c r="C7" s="21"/>
      <c r="D7" s="21"/>
      <c r="E7" s="21"/>
      <c r="F7" s="21"/>
      <c r="G7" s="21"/>
      <c r="I7" s="18"/>
      <c r="J7" s="10"/>
    </row>
    <row r="8" spans="1:10" ht="60" x14ac:dyDescent="0.25">
      <c r="A8" s="14" t="s">
        <v>28</v>
      </c>
      <c r="B8" s="15">
        <v>10</v>
      </c>
      <c r="C8" s="16" t="s">
        <v>9</v>
      </c>
      <c r="D8" s="16" t="s">
        <v>32</v>
      </c>
      <c r="E8" s="16" t="s">
        <v>33</v>
      </c>
      <c r="F8" s="16" t="s">
        <v>34</v>
      </c>
      <c r="G8" s="16" t="s">
        <v>41</v>
      </c>
      <c r="H8" cm="1">
        <f t="array" aca="1" ref="H8" ca="1">(IF(InteriorColor(C8)&gt;0,B8*0)+IF(InteriorColor(D8)&gt;0,B8*0.4)+IF(InteriorColor(E8)&gt;0,B8*0.7)+IF(InteriorColor(F8)&gt;0,B8*0.8)+IF(InteriorColor(G8)&gt;0,B8*1))</f>
        <v>0</v>
      </c>
      <c r="I8" s="17">
        <f ca="1">$I$5+H8/10</f>
        <v>0</v>
      </c>
      <c r="J8" s="10"/>
    </row>
    <row r="9" spans="1:10" ht="60" x14ac:dyDescent="0.25">
      <c r="A9" s="14" t="s">
        <v>29</v>
      </c>
      <c r="B9" s="15">
        <v>10</v>
      </c>
      <c r="C9" s="16" t="s">
        <v>9</v>
      </c>
      <c r="D9" s="16" t="s">
        <v>32</v>
      </c>
      <c r="E9" s="16" t="s">
        <v>33</v>
      </c>
      <c r="F9" s="16" t="s">
        <v>34</v>
      </c>
      <c r="G9" s="16" t="s">
        <v>41</v>
      </c>
      <c r="H9" cm="1">
        <f t="array" aca="1" ref="H9" ca="1">(IF(InteriorColor(C9)&gt;0,B9*0)+IF(InteriorColor(D9)&gt;0,B9*0.4)+IF(InteriorColor(E9)&gt;0,B9*0.7)+IF(InteriorColor(F9)&gt;0,B9*0.9)+IF(InteriorColor(G9)&gt;0,B9*1))</f>
        <v>0</v>
      </c>
      <c r="I9" s="17">
        <f ca="1">$I$5+H9/10</f>
        <v>0</v>
      </c>
      <c r="J9" s="10"/>
    </row>
    <row r="10" spans="1:10" ht="60" x14ac:dyDescent="0.25">
      <c r="A10" s="3" t="s">
        <v>30</v>
      </c>
      <c r="B10" s="15">
        <v>10</v>
      </c>
      <c r="C10" s="16" t="s">
        <v>9</v>
      </c>
      <c r="D10" s="16" t="s">
        <v>32</v>
      </c>
      <c r="E10" s="16" t="s">
        <v>33</v>
      </c>
      <c r="F10" s="16" t="s">
        <v>34</v>
      </c>
      <c r="G10" s="16" t="s">
        <v>41</v>
      </c>
      <c r="H10" cm="1">
        <f t="array" aca="1" ref="H10" ca="1">(IF(InteriorColor(C10)&gt;0,B10*0)+IF(InteriorColor(D10)&gt;0,B10*0.4)+IF(InteriorColor(E10)&gt;0,B10*0.7)+IF(InteriorColor(F10)&gt;0,B10*0.9)+IF(InteriorColor(G10)&gt;0,B10*1))</f>
        <v>0</v>
      </c>
      <c r="I10" s="17">
        <f ca="1">$I$5+H10/10</f>
        <v>0</v>
      </c>
      <c r="J10" s="1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cp:lastPrinted>2021-07-09T17:56:19Z</cp:lastPrinted>
  <dcterms:created xsi:type="dcterms:W3CDTF">2021-07-03T13:26:20Z</dcterms:created>
  <dcterms:modified xsi:type="dcterms:W3CDTF">2022-01-30T21:28:32Z</dcterms:modified>
</cp:coreProperties>
</file>